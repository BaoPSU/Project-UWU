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ff I Paid For" sheetId="1" r:id="rId5"/>
  </sheets>
  <definedNames/>
  <calcPr/>
</workbook>
</file>

<file path=xl/sharedStrings.xml><?xml version="1.0" encoding="utf-8"?>
<sst xmlns="http://schemas.openxmlformats.org/spreadsheetml/2006/main" count="176" uniqueCount="112">
  <si>
    <t>Stuff I paid with my own money</t>
  </si>
  <si>
    <t>Item</t>
  </si>
  <si>
    <t>Catalog</t>
  </si>
  <si>
    <t>form factor</t>
  </si>
  <si>
    <t>number</t>
  </si>
  <si>
    <t>price</t>
  </si>
  <si>
    <t>ext. price</t>
  </si>
  <si>
    <t>Reason of Purchase</t>
  </si>
  <si>
    <t>SURPASS HOBBY C4240-V2 850KV</t>
  </si>
  <si>
    <t>Aliexpress</t>
  </si>
  <si>
    <t>Each</t>
  </si>
  <si>
    <t>Had on hand</t>
  </si>
  <si>
    <t>Pixhawk 6C Full Kit (M10 V6 915MHZ 1000MW)</t>
  </si>
  <si>
    <t>Kit</t>
  </si>
  <si>
    <t>Best Price w/ full kit</t>
  </si>
  <si>
    <t>Radiomaster R81 V2.0 Receiver</t>
  </si>
  <si>
    <t>Pc</t>
  </si>
  <si>
    <t>PTK 9752TG-D Servo</t>
  </si>
  <si>
    <t>Radiomaster Nomad Dual Band Gemini Xrossband ExpressLRS</t>
  </si>
  <si>
    <t>Best Range Per dollar</t>
  </si>
  <si>
    <t>PX4 Differential Airspeed Pitot Tube + Pitot Tube Airspeedometer Airspeed Sensor for Pixhawk PX4 Flight Controller</t>
  </si>
  <si>
    <t>Amazon</t>
  </si>
  <si>
    <t>kit</t>
  </si>
  <si>
    <t>Required for VTOL</t>
  </si>
  <si>
    <t>5m x 10mm x 0.1 Copper Strip</t>
  </si>
  <si>
    <t>Free</t>
  </si>
  <si>
    <t>Radiator</t>
  </si>
  <si>
    <t>For welding batt</t>
  </si>
  <si>
    <t>Kingroon PETG Filament ($10 a kg)</t>
  </si>
  <si>
    <t>Craiglist</t>
  </si>
  <si>
    <t>Plastic</t>
  </si>
  <si>
    <t>5 pairs XT90</t>
  </si>
  <si>
    <t>Connector for battery</t>
  </si>
  <si>
    <t>304 stainless steel, M3, 10mm screw</t>
  </si>
  <si>
    <t>100pc</t>
  </si>
  <si>
    <t>Hardware</t>
  </si>
  <si>
    <t>12 awg silicone Wire</t>
  </si>
  <si>
    <t>Facebook</t>
  </si>
  <si>
    <t>20 meters</t>
  </si>
  <si>
    <t>Wiring for VTOL, good for multiple drones</t>
  </si>
  <si>
    <t xml:space="preserve">16 awg silicone Wire </t>
  </si>
  <si>
    <t>RedHobby AM32 80A ESC</t>
  </si>
  <si>
    <t>AM32, no Ukrain Drama</t>
  </si>
  <si>
    <t>Surpass Hobby C4240-V2 750KV</t>
  </si>
  <si>
    <t>Offerup</t>
  </si>
  <si>
    <t>Replace damaged(wrecked)</t>
  </si>
  <si>
    <t>5kg Geetech Clear PETG</t>
  </si>
  <si>
    <t>5pc</t>
  </si>
  <si>
    <t>Xt60H Connector</t>
  </si>
  <si>
    <t>10 pairs</t>
  </si>
  <si>
    <t>KWeld Spot Welder</t>
  </si>
  <si>
    <t>GridRewired</t>
  </si>
  <si>
    <t>Batt Welder</t>
  </si>
  <si>
    <t>Molicel P50B 21700 5000mAh 60A 3.7V Li-Ion Battery</t>
  </si>
  <si>
    <t>GetFPV</t>
  </si>
  <si>
    <t>2PC</t>
  </si>
  <si>
    <t>Most Cap per dollar</t>
  </si>
  <si>
    <t>RedHobby AM32 150A ESC</t>
  </si>
  <si>
    <t>Local Purchase</t>
  </si>
  <si>
    <t>RedHobby AM32 150A ESC w/ Programmer</t>
  </si>
  <si>
    <t>12 AWG Wire Red 1m</t>
  </si>
  <si>
    <t>Tammieshobby</t>
  </si>
  <si>
    <t>12 AWG wire Black 1m</t>
  </si>
  <si>
    <t>Super Glue Gel</t>
  </si>
  <si>
    <t>Harbor Freight</t>
  </si>
  <si>
    <t>10pk</t>
  </si>
  <si>
    <t>Liquid Electrical Tape</t>
  </si>
  <si>
    <t>Repair wiring</t>
  </si>
  <si>
    <t>Foaming Gorilla Glue 4oz</t>
  </si>
  <si>
    <t>Light glue gen use</t>
  </si>
  <si>
    <t>Glue stick</t>
  </si>
  <si>
    <t>50pk</t>
  </si>
  <si>
    <t>For esc</t>
  </si>
  <si>
    <t>7in Rafter Square</t>
  </si>
  <si>
    <t>Straighter wings</t>
  </si>
  <si>
    <t>8x12in Carpenter Square</t>
  </si>
  <si>
    <t>Polystrene 2inx4ftx8ft</t>
  </si>
  <si>
    <t>Homedepot</t>
  </si>
  <si>
    <t>Wing material</t>
  </si>
  <si>
    <t>3/4" CPVC TEE</t>
  </si>
  <si>
    <t>Wing Cutter tool</t>
  </si>
  <si>
    <t>3/4" CPVC EL 90 DEG</t>
  </si>
  <si>
    <t>3/4" PVC Cap</t>
  </si>
  <si>
    <t>Nylon Nut 4-40</t>
  </si>
  <si>
    <t>ACE Hardware</t>
  </si>
  <si>
    <t>Wing Mount</t>
  </si>
  <si>
    <t>Master Airscrew 12x6 Prop</t>
  </si>
  <si>
    <t>Woodland Senic Hot Wire Replacement Wire 4'</t>
  </si>
  <si>
    <t>Dubro Wing Bolt Set 1/4-20</t>
  </si>
  <si>
    <t>0.350" ODx32.5" Filament Wound Epoxy Tube K75 (.296" ID)</t>
  </si>
  <si>
    <t>Tap Plasitcs</t>
  </si>
  <si>
    <t>Wing Spar sample</t>
  </si>
  <si>
    <t>0.370" ODx54.5" FIlament Wound Epoxy Tube (.296" ID)</t>
  </si>
  <si>
    <t>304 stainless steel, M3, 8mm Wood/Plastic Screws</t>
  </si>
  <si>
    <t>100pk</t>
  </si>
  <si>
    <t>304 stainless steel, M3, 10mm</t>
  </si>
  <si>
    <t>Pink foam 2"x8'x4'</t>
  </si>
  <si>
    <t>panel</t>
  </si>
  <si>
    <t>Stronger wing material</t>
  </si>
  <si>
    <t>10 pairs of xt60 connectors</t>
  </si>
  <si>
    <t>Pk</t>
  </si>
  <si>
    <t>1/8 Ply free</t>
  </si>
  <si>
    <t>N/A</t>
  </si>
  <si>
    <t>Huge</t>
  </si>
  <si>
    <t>STOREHOUSE 10 in. Hook-and-Loop Cable Ties, 20-Pack</t>
  </si>
  <si>
    <t>20pc</t>
  </si>
  <si>
    <t>Battery Strap</t>
  </si>
  <si>
    <t>Phaetus Dragonfly Hotend (BMS)</t>
  </si>
  <si>
    <t>West3d</t>
  </si>
  <si>
    <t>Wore out hotend on my Ender 5 plus printer</t>
  </si>
  <si>
    <t>Estimated Total</t>
  </si>
  <si>
    <t>Note: All Purchases discounted price+shipping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</si>
</sst>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_);[RED]&quot;($&quot;#,##0.00\)"/>
    <numFmt numFmtId="165" formatCode="&quot;$&quot;#,##0.00"/>
    <numFmt numFmtId="166" formatCode="_(\$* #,##0.00_);_(\$* \(#,##0.00\);_(\$* \-??_);_(@_)"/>
  </numFmts>
  <fonts count="12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sz val="12.0"/>
      <color rgb="FF1D1C1D"/>
      <name val="Arial"/>
      <scheme val="minor"/>
    </font>
    <font>
      <u/>
      <sz val="12.0"/>
      <color rgb="FF0000FF"/>
    </font>
    <font>
      <sz val="12.0"/>
      <color rgb="FF000000"/>
      <name val="Arial"/>
      <scheme val="minor"/>
    </font>
    <font>
      <sz val="12.0"/>
      <color rgb="FF000000"/>
      <name val="Arial"/>
    </font>
    <font>
      <sz val="12.0"/>
      <color rgb="FF222222"/>
      <name val="Arial"/>
      <scheme val="minor"/>
    </font>
    <font>
      <b/>
      <sz val="12.0"/>
      <color rgb="FF222222"/>
      <name val="Arial"/>
    </font>
    <font>
      <b/>
      <sz val="12.0"/>
      <color rgb="FF1D1C1D"/>
      <name val="Arial"/>
      <scheme val="minor"/>
    </font>
    <font>
      <sz val="15.0"/>
      <color rgb="FF1D1C1D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1" fillId="2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3" fillId="2" fontId="1" numFmtId="164" xfId="0" applyAlignment="1" applyBorder="1" applyFont="1" applyNumberFormat="1">
      <alignment readingOrder="0" shrinkToFit="0" vertical="bottom" wrapText="0"/>
    </xf>
    <xf borderId="4" fillId="2" fontId="1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2" numFmtId="165" xfId="0" applyAlignment="1" applyBorder="1" applyFont="1" applyNumberFormat="1">
      <alignment readingOrder="0"/>
    </xf>
    <xf borderId="5" fillId="2" fontId="2" numFmtId="0" xfId="0" applyAlignment="1" applyBorder="1" applyFont="1">
      <alignment readingOrder="0"/>
    </xf>
    <xf borderId="5" fillId="0" fontId="4" numFmtId="0" xfId="0" applyAlignment="1" applyBorder="1" applyFont="1">
      <alignment horizontal="left" readingOrder="0" shrinkToFit="0" vertical="bottom" wrapText="1"/>
    </xf>
    <xf borderId="5" fillId="0" fontId="5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5" fillId="0" fontId="6" numFmtId="165" xfId="0" applyAlignment="1" applyBorder="1" applyFont="1" applyNumberFormat="1">
      <alignment readingOrder="0" shrinkToFit="0" vertical="bottom" wrapText="1"/>
    </xf>
    <xf borderId="5" fillId="0" fontId="6" numFmtId="165" xfId="0" applyAlignment="1" applyBorder="1" applyFont="1" applyNumberForma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2" fontId="6" numFmtId="164" xfId="0" applyAlignment="1" applyBorder="1" applyFont="1" applyNumberFormat="1">
      <alignment readingOrder="0" shrinkToFit="0" vertical="bottom" wrapText="0"/>
    </xf>
    <xf borderId="5" fillId="0" fontId="6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4" numFmtId="0" xfId="0" applyAlignment="1" applyBorder="1" applyFont="1">
      <alignment horizontal="left" readingOrder="0" shrinkToFit="0" vertical="bottom" wrapText="1"/>
    </xf>
    <xf borderId="5" fillId="3" fontId="7" numFmtId="0" xfId="0" applyAlignment="1" applyBorder="1" applyFill="1" applyFont="1">
      <alignment readingOrder="0"/>
    </xf>
    <xf borderId="5" fillId="0" fontId="6" numFmtId="0" xfId="0" applyAlignment="1" applyBorder="1" applyFont="1">
      <alignment readingOrder="0" shrinkToFit="0" vertical="bottom" wrapText="0"/>
    </xf>
    <xf borderId="5" fillId="0" fontId="2" numFmtId="165" xfId="0" applyBorder="1" applyFont="1" applyNumberFormat="1"/>
    <xf borderId="5" fillId="0" fontId="6" numFmtId="0" xfId="0" applyAlignment="1" applyBorder="1" applyFont="1">
      <alignment readingOrder="0"/>
    </xf>
    <xf borderId="5" fillId="0" fontId="8" numFmtId="165" xfId="0" applyAlignment="1" applyBorder="1" applyFont="1" applyNumberFormat="1">
      <alignment readingOrder="0"/>
    </xf>
    <xf borderId="5" fillId="4" fontId="9" numFmtId="165" xfId="0" applyAlignment="1" applyBorder="1" applyFill="1" applyFont="1" applyNumberFormat="1">
      <alignment readingOrder="0"/>
    </xf>
    <xf borderId="0" fillId="0" fontId="6" numFmtId="0" xfId="0" applyAlignment="1" applyFont="1">
      <alignment readingOrder="0"/>
    </xf>
    <xf borderId="5" fillId="0" fontId="2" numFmtId="0" xfId="0" applyBorder="1" applyFont="1"/>
    <xf borderId="0" fillId="0" fontId="2" numFmtId="0" xfId="0" applyFont="1"/>
    <xf borderId="6" fillId="2" fontId="10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2" fontId="1" numFmtId="164" xfId="0" applyAlignment="1" applyBorder="1" applyFont="1" applyNumberFormat="1">
      <alignment shrinkToFit="0" vertical="bottom" wrapText="0"/>
    </xf>
    <xf borderId="7" fillId="2" fontId="1" numFmtId="166" xfId="0" applyAlignment="1" applyBorder="1" applyFont="1" applyNumberForma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6" xfId="0" applyAlignment="1" applyFont="1" applyNumberFormat="1">
      <alignment shrinkToFit="0" vertical="bottom" wrapText="0"/>
    </xf>
    <xf borderId="0" fillId="0" fontId="1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homedepot.com/p/R-Tech-2-in-x-4-ft-x-8-ft-R-8-8-Foam-Insulating-Sheathing-310914/202524448" TargetMode="External"/><Relationship Id="rId22" Type="http://schemas.openxmlformats.org/officeDocument/2006/relationships/hyperlink" Target="https://www.homedepot.com/p/NIBCO-3-4-in-x-3-4-in-CPVC-CTS-90-Degree-Slip-x-Slip-Elbow-Fitting-C470734/100120910" TargetMode="External"/><Relationship Id="rId21" Type="http://schemas.openxmlformats.org/officeDocument/2006/relationships/hyperlink" Target="https://www.homedepot.com/p/NIBCO-3-4-in-CPVC-CTS-All-Slip-Tee-Fitting-C471134/100151108" TargetMode="External"/><Relationship Id="rId24" Type="http://schemas.openxmlformats.org/officeDocument/2006/relationships/hyperlink" Target="https://www.tammieshobbies.com/products/12-x-6-n-g-propeller-mstr?_pos=5&amp;_sid=9d91cc241&amp;_ss=r" TargetMode="External"/><Relationship Id="rId23" Type="http://schemas.openxmlformats.org/officeDocument/2006/relationships/hyperlink" Target="https://www.homedepot.com/p/Charlotte-Pipe-3-4-in-PVC-Socket-Schedule-40-Pressure-Cap-PVC021160800HD/203811671" TargetMode="External"/><Relationship Id="rId1" Type="http://schemas.openxmlformats.org/officeDocument/2006/relationships/hyperlink" Target="https://www.aliexpress.us/item/3256808570238787.html?spm=a2g0o.order_list.order_list_main.20.8eb41802iEtep7&amp;gatewayAdapt=glo2usa" TargetMode="External"/><Relationship Id="rId2" Type="http://schemas.openxmlformats.org/officeDocument/2006/relationships/hyperlink" Target="https://www.aliexpress.us/item/3256808050873504.html?spm=a2g0o.order_list.order_list_main.57.8eb41802iEtep7&amp;gatewayAdapt=glo2usa" TargetMode="External"/><Relationship Id="rId3" Type="http://schemas.openxmlformats.org/officeDocument/2006/relationships/hyperlink" Target="https://www.aliexpress.us/item/3256805698948305.html?spm=a2g0o.order_list.order_list_main.135.8eb41802iEtep7&amp;gatewayAdapt=glo2usa" TargetMode="External"/><Relationship Id="rId4" Type="http://schemas.openxmlformats.org/officeDocument/2006/relationships/hyperlink" Target="https://www.aliexpress.us/item/3256805750489318.html?spm=a2g0o.order_list.order_list_main.129.8eb41802iEtep7&amp;gatewayAdapt=glo2usa" TargetMode="External"/><Relationship Id="rId9" Type="http://schemas.openxmlformats.org/officeDocument/2006/relationships/hyperlink" Target="https://www.aliexpress.us/item/3256808379106182.html?spm=a2g0o.order_list.order_list_main.55.456e180258ERY2&amp;gatewayAdapt=glo2usa" TargetMode="External"/><Relationship Id="rId26" Type="http://schemas.openxmlformats.org/officeDocument/2006/relationships/hyperlink" Target="https://www.tammieshobbies.com/products/dubro-wing-bolt-set-1-4-20-x-2?_pos=1&amp;_sid=106560b6b&amp;_ss=r" TargetMode="External"/><Relationship Id="rId25" Type="http://schemas.openxmlformats.org/officeDocument/2006/relationships/hyperlink" Target="https://www.tammieshobbies.com/products/woodland-scenics-hot-wire-replacement-wire-4?_pos=1&amp;_sid=082e859f3&amp;_ss=r" TargetMode="External"/><Relationship Id="rId28" Type="http://schemas.openxmlformats.org/officeDocument/2006/relationships/hyperlink" Target="https://www.tapplastics.com/product/plastics/plastic_rods_tubes_shapes/epoxy_tubing/144" TargetMode="External"/><Relationship Id="rId27" Type="http://schemas.openxmlformats.org/officeDocument/2006/relationships/hyperlink" Target="https://www.tapplastics.com/product/plastics/plastic_rods_tubes_shapes/epoxy_tubing/144" TargetMode="External"/><Relationship Id="rId5" Type="http://schemas.openxmlformats.org/officeDocument/2006/relationships/hyperlink" Target="https://www.aliexpress.us/item/3256807902964992.html?spm=a2g0o.order_list.order_list_main.20.456e180258ERY2&amp;gatewayAdapt=glo2usa" TargetMode="External"/><Relationship Id="rId6" Type="http://schemas.openxmlformats.org/officeDocument/2006/relationships/hyperlink" Target="https://www.amazon.com/FPVDrone-Differential-Airspeed-Airspeedometer-Controller/dp/B09XQ3SCDK?crid=1BUH81DUBHX0Q&amp;dib=eyJ2IjoiMSJ9.luOVtRA_ip6DiRY4SKWcphTIEvrifE6VqzKFrBaKv57UJC4yGKvNit65GrfuMdgtal3uXOSW3fIyY2UqtQixD-s8B2qVp0kSG_sYWoxM43h3DDlijP6n7aaQmoMSbFYPD8xKJUUdHbcm-FmXI3c8DXyPSGdAOagcu3kcktjp4fo3meAkO-3pjwv0ar0kZ0cnw-pycB3TljM8vkk0Jt_oruqtZpl71A-sABHyoKQ7TUL8j78JYrza86C9wbUVv21BEYabVcj87ClRMWZpDJpzthrA4n9wR1Cfr2Z4HFGHElA.s2gt4eP-dbl0ro9W3DWpBbTpLIwb4tNY3sEIB4NyZyo&amp;dib_tag=se&amp;keywords=airspeed+sensor&amp;qid=1757011988&amp;sprefix=airspeed+se%2Caps%2C373&amp;sr=8-4" TargetMode="External"/><Relationship Id="rId29" Type="http://schemas.openxmlformats.org/officeDocument/2006/relationships/hyperlink" Target="https://www.aliexpress.us/item/3256803466380721.html?spm=a2g0o.order_list.order_list_main.10.3e361802KS9L0U&amp;gatewayAdapt=glo2usa" TargetMode="External"/><Relationship Id="rId7" Type="http://schemas.openxmlformats.org/officeDocument/2006/relationships/hyperlink" Target="https://www.aliexpress.us/item/3256808942631935.html?spm=a2g0o.order_list.order_list_main.5.22b41802CrSoBn&amp;gatewayAdapt=glo2usa" TargetMode="External"/><Relationship Id="rId8" Type="http://schemas.openxmlformats.org/officeDocument/2006/relationships/hyperlink" Target="https://www.aliexpress.us/item/3256809399480898.html?spm=a2g0o.order_list.order_list_main.5.25741802ijOSFW&amp;gatewayAdapt=glo2usa" TargetMode="External"/><Relationship Id="rId31" Type="http://schemas.openxmlformats.org/officeDocument/2006/relationships/hyperlink" Target="https://west3d.com/products/phaetus-dragonfly-hotend-bms?_pos=2&amp;_sid=697fd21ed&amp;_ss=r" TargetMode="External"/><Relationship Id="rId30" Type="http://schemas.openxmlformats.org/officeDocument/2006/relationships/hyperlink" Target="https://www.homedepot.com/p/Owens-Corning-FOAMULAR-150-2-in-x-4-ft-x-8-ft-R-10-Scored-Squared-Edge-Rigid-Foam-Board-Insulation-Sheathing-45W/100320352" TargetMode="External"/><Relationship Id="rId11" Type="http://schemas.openxmlformats.org/officeDocument/2006/relationships/hyperlink" Target="https://www.getfpv.com/molicel-p50b-21700-5000mah-60a-3-6v-li-ion-battery-2pcs.html" TargetMode="External"/><Relationship Id="rId10" Type="http://schemas.openxmlformats.org/officeDocument/2006/relationships/hyperlink" Target="https://gridrewired.com/collections/frontpage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tammieshobbies.com/products/12-awg-wire-black?_pos=1&amp;_sid=abad716f5&amp;_ss=r" TargetMode="External"/><Relationship Id="rId12" Type="http://schemas.openxmlformats.org/officeDocument/2006/relationships/hyperlink" Target="https://www.tammieshobbies.com/products/12-awg-wire-red" TargetMode="External"/><Relationship Id="rId15" Type="http://schemas.openxmlformats.org/officeDocument/2006/relationships/hyperlink" Target="https://www.harborfreight.com/4-fl-oz-liquid-electrical-tape-36821.html" TargetMode="External"/><Relationship Id="rId14" Type="http://schemas.openxmlformats.org/officeDocument/2006/relationships/hyperlink" Target="https://www.harborfreight.com/super-glue-gel-10-pack-68349.html" TargetMode="External"/><Relationship Id="rId17" Type="http://schemas.openxmlformats.org/officeDocument/2006/relationships/hyperlink" Target="https://www.harborfreight.com/multitemp-full-size-glue-sticks-50-pack-68336.html" TargetMode="External"/><Relationship Id="rId16" Type="http://schemas.openxmlformats.org/officeDocument/2006/relationships/hyperlink" Target="https://www.harborfreight.com/4-oz-gorilla-glue-94731.html" TargetMode="External"/><Relationship Id="rId19" Type="http://schemas.openxmlformats.org/officeDocument/2006/relationships/hyperlink" Target="https://www.harborfreight.com/12-in-professional-rafter-square-57082.html" TargetMode="External"/><Relationship Id="rId18" Type="http://schemas.openxmlformats.org/officeDocument/2006/relationships/hyperlink" Target="https://www.harborfreight.com/7-in-professional-rafter-square-5708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7.88"/>
    <col customWidth="1" min="3" max="3" width="14.75"/>
    <col customWidth="1" min="8" max="8" width="20.13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5" t="s">
        <v>7</v>
      </c>
    </row>
    <row r="3">
      <c r="A3" s="6">
        <v>1.0</v>
      </c>
      <c r="B3" s="7" t="s">
        <v>8</v>
      </c>
      <c r="C3" s="8" t="s">
        <v>9</v>
      </c>
      <c r="D3" s="7" t="s">
        <v>10</v>
      </c>
      <c r="E3" s="7">
        <v>2.0</v>
      </c>
      <c r="F3" s="9">
        <v>19.6</v>
      </c>
      <c r="G3" s="9">
        <f t="shared" ref="G3:G54" si="1">E3*F3</f>
        <v>39.2</v>
      </c>
      <c r="H3" s="10" t="s">
        <v>11</v>
      </c>
    </row>
    <row r="4">
      <c r="A4" s="6">
        <v>2.0</v>
      </c>
      <c r="B4" s="7" t="s">
        <v>12</v>
      </c>
      <c r="C4" s="8" t="s">
        <v>9</v>
      </c>
      <c r="D4" s="7" t="s">
        <v>13</v>
      </c>
      <c r="E4" s="7">
        <v>1.0</v>
      </c>
      <c r="F4" s="9">
        <v>303.39</v>
      </c>
      <c r="G4" s="9">
        <f t="shared" si="1"/>
        <v>303.39</v>
      </c>
      <c r="H4" s="10" t="s">
        <v>14</v>
      </c>
    </row>
    <row r="5">
      <c r="A5" s="6">
        <v>3.0</v>
      </c>
      <c r="B5" s="7" t="s">
        <v>15</v>
      </c>
      <c r="C5" s="8" t="s">
        <v>9</v>
      </c>
      <c r="D5" s="7" t="s">
        <v>16</v>
      </c>
      <c r="E5" s="7">
        <v>1.0</v>
      </c>
      <c r="F5" s="9">
        <v>7.8</v>
      </c>
      <c r="G5" s="9">
        <f t="shared" si="1"/>
        <v>7.8</v>
      </c>
      <c r="H5" s="10" t="s">
        <v>11</v>
      </c>
    </row>
    <row r="6">
      <c r="A6" s="6">
        <v>4.0</v>
      </c>
      <c r="B6" s="11" t="s">
        <v>17</v>
      </c>
      <c r="C6" s="12" t="s">
        <v>9</v>
      </c>
      <c r="D6" s="13" t="s">
        <v>10</v>
      </c>
      <c r="E6" s="13">
        <v>2.0</v>
      </c>
      <c r="F6" s="14">
        <v>24.3</v>
      </c>
      <c r="G6" s="9">
        <f t="shared" si="1"/>
        <v>48.6</v>
      </c>
      <c r="H6" s="10" t="s">
        <v>11</v>
      </c>
    </row>
    <row r="7">
      <c r="A7" s="6">
        <v>5.0</v>
      </c>
      <c r="B7" s="11" t="s">
        <v>18</v>
      </c>
      <c r="C7" s="12" t="s">
        <v>9</v>
      </c>
      <c r="D7" s="13" t="s">
        <v>10</v>
      </c>
      <c r="E7" s="13">
        <v>1.0</v>
      </c>
      <c r="F7" s="15">
        <v>57.26</v>
      </c>
      <c r="G7" s="9">
        <f t="shared" si="1"/>
        <v>57.26</v>
      </c>
      <c r="H7" s="10" t="s">
        <v>19</v>
      </c>
    </row>
    <row r="8">
      <c r="A8" s="6">
        <v>6.0</v>
      </c>
      <c r="B8" s="7" t="s">
        <v>20</v>
      </c>
      <c r="C8" s="12" t="s">
        <v>21</v>
      </c>
      <c r="D8" s="13" t="s">
        <v>22</v>
      </c>
      <c r="E8" s="13">
        <v>1.0</v>
      </c>
      <c r="F8" s="15">
        <v>49.0</v>
      </c>
      <c r="G8" s="9">
        <f t="shared" si="1"/>
        <v>49</v>
      </c>
      <c r="H8" s="10" t="s">
        <v>23</v>
      </c>
    </row>
    <row r="9">
      <c r="A9" s="6">
        <v>7.0</v>
      </c>
      <c r="B9" s="11" t="s">
        <v>24</v>
      </c>
      <c r="C9" s="16" t="s">
        <v>25</v>
      </c>
      <c r="D9" s="13" t="s">
        <v>26</v>
      </c>
      <c r="E9" s="13">
        <v>1.0</v>
      </c>
      <c r="F9" s="14">
        <v>0.0</v>
      </c>
      <c r="G9" s="9">
        <f t="shared" si="1"/>
        <v>0</v>
      </c>
      <c r="H9" s="17" t="s">
        <v>27</v>
      </c>
    </row>
    <row r="10">
      <c r="A10" s="6">
        <v>8.0</v>
      </c>
      <c r="B10" s="11" t="s">
        <v>28</v>
      </c>
      <c r="C10" s="16" t="s">
        <v>29</v>
      </c>
      <c r="D10" s="13" t="s">
        <v>10</v>
      </c>
      <c r="E10" s="13">
        <v>3.0</v>
      </c>
      <c r="F10" s="14">
        <v>10.0</v>
      </c>
      <c r="G10" s="9">
        <f t="shared" si="1"/>
        <v>30</v>
      </c>
      <c r="H10" s="17" t="s">
        <v>30</v>
      </c>
    </row>
    <row r="11">
      <c r="A11" s="6">
        <v>9.0</v>
      </c>
      <c r="B11" s="11" t="s">
        <v>31</v>
      </c>
      <c r="C11" s="16" t="s">
        <v>21</v>
      </c>
      <c r="D11" s="13" t="s">
        <v>13</v>
      </c>
      <c r="E11" s="13">
        <v>1.0</v>
      </c>
      <c r="F11" s="14">
        <v>5.03</v>
      </c>
      <c r="G11" s="9">
        <f t="shared" si="1"/>
        <v>5.03</v>
      </c>
      <c r="H11" s="17" t="s">
        <v>32</v>
      </c>
    </row>
    <row r="12">
      <c r="A12" s="6">
        <v>10.0</v>
      </c>
      <c r="B12" s="18" t="s">
        <v>33</v>
      </c>
      <c r="C12" s="16" t="s">
        <v>29</v>
      </c>
      <c r="D12" s="13" t="s">
        <v>34</v>
      </c>
      <c r="E12" s="13">
        <v>1.0</v>
      </c>
      <c r="F12" s="14">
        <v>2.0</v>
      </c>
      <c r="G12" s="9">
        <f t="shared" si="1"/>
        <v>2</v>
      </c>
      <c r="H12" s="17" t="s">
        <v>35</v>
      </c>
    </row>
    <row r="13">
      <c r="A13" s="6">
        <v>11.0</v>
      </c>
      <c r="B13" s="11" t="s">
        <v>36</v>
      </c>
      <c r="C13" s="16" t="s">
        <v>37</v>
      </c>
      <c r="D13" s="13" t="s">
        <v>38</v>
      </c>
      <c r="E13" s="13">
        <v>1.0</v>
      </c>
      <c r="F13" s="14">
        <v>26.0</v>
      </c>
      <c r="G13" s="9">
        <f t="shared" si="1"/>
        <v>26</v>
      </c>
      <c r="H13" s="17" t="s">
        <v>39</v>
      </c>
    </row>
    <row r="14">
      <c r="A14" s="6">
        <v>12.0</v>
      </c>
      <c r="B14" s="18" t="s">
        <v>40</v>
      </c>
      <c r="C14" s="16" t="s">
        <v>37</v>
      </c>
      <c r="D14" s="13" t="s">
        <v>38</v>
      </c>
      <c r="E14" s="13">
        <v>1.0</v>
      </c>
      <c r="F14" s="15">
        <v>15.0</v>
      </c>
      <c r="G14" s="9">
        <f t="shared" si="1"/>
        <v>15</v>
      </c>
      <c r="H14" s="17" t="s">
        <v>39</v>
      </c>
    </row>
    <row r="15">
      <c r="A15" s="6">
        <v>13.0</v>
      </c>
      <c r="B15" s="19" t="s">
        <v>41</v>
      </c>
      <c r="C15" s="12" t="s">
        <v>9</v>
      </c>
      <c r="D15" s="13" t="s">
        <v>10</v>
      </c>
      <c r="E15" s="13">
        <v>2.0</v>
      </c>
      <c r="F15" s="14">
        <v>25.0</v>
      </c>
      <c r="G15" s="9">
        <f t="shared" si="1"/>
        <v>50</v>
      </c>
      <c r="H15" s="17" t="s">
        <v>42</v>
      </c>
    </row>
    <row r="16">
      <c r="A16" s="6">
        <v>14.0</v>
      </c>
      <c r="B16" s="11" t="s">
        <v>43</v>
      </c>
      <c r="C16" s="13" t="s">
        <v>44</v>
      </c>
      <c r="D16" s="13" t="s">
        <v>10</v>
      </c>
      <c r="E16" s="13">
        <v>2.0</v>
      </c>
      <c r="F16" s="15">
        <v>16.0</v>
      </c>
      <c r="G16" s="9">
        <f t="shared" si="1"/>
        <v>32</v>
      </c>
      <c r="H16" s="17" t="s">
        <v>45</v>
      </c>
    </row>
    <row r="17">
      <c r="A17" s="6">
        <v>15.0</v>
      </c>
      <c r="B17" s="20" t="s">
        <v>46</v>
      </c>
      <c r="C17" s="12" t="s">
        <v>9</v>
      </c>
      <c r="D17" s="13" t="s">
        <v>47</v>
      </c>
      <c r="E17" s="13">
        <v>1.0</v>
      </c>
      <c r="F17" s="15">
        <v>32.0</v>
      </c>
      <c r="G17" s="9">
        <f t="shared" si="1"/>
        <v>32</v>
      </c>
      <c r="H17" s="17"/>
    </row>
    <row r="18">
      <c r="A18" s="6">
        <v>16.0</v>
      </c>
      <c r="B18" s="11" t="s">
        <v>48</v>
      </c>
      <c r="C18" s="12" t="s">
        <v>9</v>
      </c>
      <c r="D18" s="13" t="s">
        <v>49</v>
      </c>
      <c r="E18" s="13">
        <v>1.0</v>
      </c>
      <c r="F18" s="15">
        <v>5.56</v>
      </c>
      <c r="G18" s="9">
        <f t="shared" si="1"/>
        <v>5.56</v>
      </c>
      <c r="H18" s="17"/>
    </row>
    <row r="19">
      <c r="A19" s="6">
        <v>17.0</v>
      </c>
      <c r="B19" s="11" t="s">
        <v>50</v>
      </c>
      <c r="C19" s="12" t="s">
        <v>51</v>
      </c>
      <c r="D19" s="13" t="s">
        <v>13</v>
      </c>
      <c r="E19" s="13">
        <v>1.0</v>
      </c>
      <c r="F19" s="15">
        <v>276.0</v>
      </c>
      <c r="G19" s="9">
        <f t="shared" si="1"/>
        <v>276</v>
      </c>
      <c r="H19" s="17" t="s">
        <v>52</v>
      </c>
    </row>
    <row r="20">
      <c r="A20" s="6">
        <v>18.0</v>
      </c>
      <c r="B20" s="21" t="s">
        <v>53</v>
      </c>
      <c r="C20" s="8" t="s">
        <v>54</v>
      </c>
      <c r="D20" s="7" t="s">
        <v>55</v>
      </c>
      <c r="E20" s="7">
        <v>8.0</v>
      </c>
      <c r="F20" s="9">
        <v>18.79</v>
      </c>
      <c r="G20" s="9">
        <f t="shared" si="1"/>
        <v>150.32</v>
      </c>
      <c r="H20" s="17" t="s">
        <v>56</v>
      </c>
    </row>
    <row r="21">
      <c r="A21" s="6">
        <v>19.0</v>
      </c>
      <c r="B21" s="11" t="s">
        <v>57</v>
      </c>
      <c r="C21" s="22" t="s">
        <v>37</v>
      </c>
      <c r="D21" s="13" t="s">
        <v>10</v>
      </c>
      <c r="E21" s="13">
        <v>1.0</v>
      </c>
      <c r="F21" s="23">
        <v>32.87</v>
      </c>
      <c r="G21" s="9">
        <f t="shared" si="1"/>
        <v>32.87</v>
      </c>
      <c r="H21" s="17" t="s">
        <v>58</v>
      </c>
    </row>
    <row r="22">
      <c r="A22" s="6">
        <v>20.0</v>
      </c>
      <c r="B22" s="7" t="s">
        <v>59</v>
      </c>
      <c r="C22" s="24" t="s">
        <v>37</v>
      </c>
      <c r="D22" s="7" t="s">
        <v>10</v>
      </c>
      <c r="E22" s="7">
        <v>1.0</v>
      </c>
      <c r="F22" s="25">
        <v>35.11</v>
      </c>
      <c r="G22" s="9">
        <f t="shared" si="1"/>
        <v>35.11</v>
      </c>
      <c r="H22" s="17" t="s">
        <v>58</v>
      </c>
    </row>
    <row r="23">
      <c r="A23" s="6">
        <v>21.0</v>
      </c>
      <c r="B23" s="11" t="s">
        <v>60</v>
      </c>
      <c r="C23" s="12" t="s">
        <v>61</v>
      </c>
      <c r="D23" s="13" t="s">
        <v>10</v>
      </c>
      <c r="E23" s="13">
        <v>2.0</v>
      </c>
      <c r="F23" s="15">
        <v>3.99</v>
      </c>
      <c r="G23" s="9">
        <f t="shared" si="1"/>
        <v>7.98</v>
      </c>
      <c r="H23" s="17"/>
    </row>
    <row r="24">
      <c r="A24" s="6">
        <v>22.0</v>
      </c>
      <c r="B24" s="11" t="s">
        <v>62</v>
      </c>
      <c r="C24" s="12" t="s">
        <v>61</v>
      </c>
      <c r="D24" s="13" t="s">
        <v>10</v>
      </c>
      <c r="E24" s="13">
        <v>2.0</v>
      </c>
      <c r="F24" s="15">
        <v>3.99</v>
      </c>
      <c r="G24" s="9">
        <f t="shared" si="1"/>
        <v>7.98</v>
      </c>
      <c r="H24" s="17"/>
    </row>
    <row r="25">
      <c r="A25" s="6">
        <v>23.0</v>
      </c>
      <c r="B25" s="7" t="s">
        <v>63</v>
      </c>
      <c r="C25" s="8" t="s">
        <v>64</v>
      </c>
      <c r="D25" s="7" t="s">
        <v>65</v>
      </c>
      <c r="E25" s="7">
        <v>1.0</v>
      </c>
      <c r="F25" s="9">
        <v>4.99</v>
      </c>
      <c r="G25" s="9">
        <f t="shared" si="1"/>
        <v>4.99</v>
      </c>
      <c r="H25" s="17"/>
    </row>
    <row r="26">
      <c r="A26" s="6">
        <v>24.0</v>
      </c>
      <c r="B26" s="7" t="s">
        <v>66</v>
      </c>
      <c r="C26" s="8" t="s">
        <v>64</v>
      </c>
      <c r="D26" s="7" t="s">
        <v>10</v>
      </c>
      <c r="E26" s="7">
        <v>1.0</v>
      </c>
      <c r="F26" s="9">
        <v>9.99</v>
      </c>
      <c r="G26" s="9">
        <f t="shared" si="1"/>
        <v>9.99</v>
      </c>
      <c r="H26" s="17" t="s">
        <v>67</v>
      </c>
    </row>
    <row r="27">
      <c r="A27" s="6">
        <v>25.0</v>
      </c>
      <c r="B27" s="7" t="s">
        <v>68</v>
      </c>
      <c r="C27" s="8" t="s">
        <v>64</v>
      </c>
      <c r="D27" s="7" t="s">
        <v>10</v>
      </c>
      <c r="E27" s="7">
        <v>1.0</v>
      </c>
      <c r="F27" s="9">
        <v>8.99</v>
      </c>
      <c r="G27" s="9">
        <f t="shared" si="1"/>
        <v>8.99</v>
      </c>
      <c r="H27" s="17" t="s">
        <v>69</v>
      </c>
    </row>
    <row r="28">
      <c r="A28" s="6">
        <v>26.0</v>
      </c>
      <c r="B28" s="7" t="s">
        <v>70</v>
      </c>
      <c r="C28" s="8" t="s">
        <v>64</v>
      </c>
      <c r="D28" s="7" t="s">
        <v>71</v>
      </c>
      <c r="E28" s="13">
        <v>1.0</v>
      </c>
      <c r="F28" s="15">
        <v>7.99</v>
      </c>
      <c r="G28" s="9">
        <f t="shared" si="1"/>
        <v>7.99</v>
      </c>
      <c r="H28" s="17" t="s">
        <v>72</v>
      </c>
    </row>
    <row r="29">
      <c r="A29" s="6">
        <v>27.0</v>
      </c>
      <c r="B29" s="11" t="s">
        <v>73</v>
      </c>
      <c r="C29" s="12" t="s">
        <v>64</v>
      </c>
      <c r="D29" s="13" t="s">
        <v>10</v>
      </c>
      <c r="E29" s="13">
        <v>1.0</v>
      </c>
      <c r="F29" s="14">
        <v>10.99</v>
      </c>
      <c r="G29" s="9">
        <f t="shared" si="1"/>
        <v>10.99</v>
      </c>
      <c r="H29" s="17" t="s">
        <v>74</v>
      </c>
    </row>
    <row r="30">
      <c r="A30" s="6">
        <v>28.0</v>
      </c>
      <c r="B30" s="13" t="s">
        <v>75</v>
      </c>
      <c r="C30" s="12" t="s">
        <v>64</v>
      </c>
      <c r="D30" s="13" t="s">
        <v>10</v>
      </c>
      <c r="E30" s="13">
        <v>1.0</v>
      </c>
      <c r="F30" s="15">
        <v>3.99</v>
      </c>
      <c r="G30" s="9">
        <f t="shared" si="1"/>
        <v>3.99</v>
      </c>
      <c r="H30" s="17"/>
    </row>
    <row r="31">
      <c r="A31" s="6">
        <v>29.0</v>
      </c>
      <c r="B31" s="13" t="s">
        <v>76</v>
      </c>
      <c r="C31" s="12" t="s">
        <v>77</v>
      </c>
      <c r="D31" s="13" t="s">
        <v>10</v>
      </c>
      <c r="E31" s="13">
        <v>1.0</v>
      </c>
      <c r="F31" s="15">
        <v>33.0</v>
      </c>
      <c r="G31" s="9">
        <f t="shared" si="1"/>
        <v>33</v>
      </c>
      <c r="H31" s="17" t="s">
        <v>78</v>
      </c>
    </row>
    <row r="32">
      <c r="A32" s="6">
        <v>30.0</v>
      </c>
      <c r="B32" s="13" t="s">
        <v>79</v>
      </c>
      <c r="C32" s="12" t="s">
        <v>77</v>
      </c>
      <c r="D32" s="13" t="s">
        <v>10</v>
      </c>
      <c r="E32" s="13">
        <v>1.0</v>
      </c>
      <c r="F32" s="15">
        <v>1.35</v>
      </c>
      <c r="G32" s="9">
        <f t="shared" si="1"/>
        <v>1.35</v>
      </c>
      <c r="H32" s="17" t="s">
        <v>80</v>
      </c>
    </row>
    <row r="33">
      <c r="A33" s="6">
        <v>31.0</v>
      </c>
      <c r="B33" s="7" t="s">
        <v>81</v>
      </c>
      <c r="C33" s="12" t="s">
        <v>77</v>
      </c>
      <c r="D33" s="7" t="s">
        <v>10</v>
      </c>
      <c r="E33" s="7">
        <v>1.0</v>
      </c>
      <c r="F33" s="9">
        <v>1.16</v>
      </c>
      <c r="G33" s="9">
        <f t="shared" si="1"/>
        <v>1.16</v>
      </c>
      <c r="H33" s="17"/>
    </row>
    <row r="34">
      <c r="A34" s="6">
        <v>32.0</v>
      </c>
      <c r="B34" s="7" t="s">
        <v>82</v>
      </c>
      <c r="C34" s="12" t="s">
        <v>77</v>
      </c>
      <c r="D34" s="7" t="s">
        <v>10</v>
      </c>
      <c r="E34" s="7">
        <v>2.0</v>
      </c>
      <c r="F34" s="9">
        <v>0.82</v>
      </c>
      <c r="G34" s="9">
        <f t="shared" si="1"/>
        <v>1.64</v>
      </c>
      <c r="H34" s="17"/>
    </row>
    <row r="35">
      <c r="A35" s="6">
        <v>33.0</v>
      </c>
      <c r="B35" s="7" t="s">
        <v>83</v>
      </c>
      <c r="C35" s="7" t="s">
        <v>84</v>
      </c>
      <c r="D35" s="7" t="s">
        <v>10</v>
      </c>
      <c r="E35" s="7">
        <v>4.0</v>
      </c>
      <c r="F35" s="9">
        <v>0.43</v>
      </c>
      <c r="G35" s="9">
        <f t="shared" si="1"/>
        <v>1.72</v>
      </c>
      <c r="H35" s="17" t="s">
        <v>85</v>
      </c>
    </row>
    <row r="36">
      <c r="A36" s="6">
        <v>34.0</v>
      </c>
      <c r="B36" s="7" t="s">
        <v>86</v>
      </c>
      <c r="C36" s="8" t="s">
        <v>61</v>
      </c>
      <c r="D36" s="7" t="s">
        <v>10</v>
      </c>
      <c r="E36" s="7">
        <v>2.0</v>
      </c>
      <c r="F36" s="9">
        <v>5.65</v>
      </c>
      <c r="G36" s="9">
        <f t="shared" si="1"/>
        <v>11.3</v>
      </c>
      <c r="H36" s="17"/>
    </row>
    <row r="37">
      <c r="A37" s="6">
        <v>35.0</v>
      </c>
      <c r="B37" s="7" t="s">
        <v>87</v>
      </c>
      <c r="C37" s="8" t="s">
        <v>61</v>
      </c>
      <c r="D37" s="7" t="s">
        <v>10</v>
      </c>
      <c r="E37" s="7">
        <v>1.0</v>
      </c>
      <c r="F37" s="9">
        <v>4.99</v>
      </c>
      <c r="G37" s="9">
        <f t="shared" si="1"/>
        <v>4.99</v>
      </c>
      <c r="H37" s="17"/>
    </row>
    <row r="38">
      <c r="A38" s="6">
        <v>36.0</v>
      </c>
      <c r="B38" s="7" t="s">
        <v>88</v>
      </c>
      <c r="C38" s="8" t="s">
        <v>61</v>
      </c>
      <c r="D38" s="7" t="s">
        <v>10</v>
      </c>
      <c r="E38" s="7">
        <v>2.0</v>
      </c>
      <c r="F38" s="9">
        <v>4.7</v>
      </c>
      <c r="G38" s="9">
        <f t="shared" si="1"/>
        <v>9.4</v>
      </c>
      <c r="H38" s="17"/>
    </row>
    <row r="39">
      <c r="A39" s="6">
        <v>37.0</v>
      </c>
      <c r="B39" s="7" t="s">
        <v>89</v>
      </c>
      <c r="C39" s="8" t="s">
        <v>90</v>
      </c>
      <c r="D39" s="7" t="s">
        <v>10</v>
      </c>
      <c r="E39" s="7">
        <v>2.0</v>
      </c>
      <c r="F39" s="9">
        <v>11.95</v>
      </c>
      <c r="G39" s="9">
        <f t="shared" si="1"/>
        <v>23.9</v>
      </c>
      <c r="H39" s="17" t="s">
        <v>91</v>
      </c>
    </row>
    <row r="40">
      <c r="A40" s="6">
        <v>38.0</v>
      </c>
      <c r="B40" s="7" t="s">
        <v>92</v>
      </c>
      <c r="C40" s="8" t="s">
        <v>90</v>
      </c>
      <c r="D40" s="7" t="s">
        <v>10</v>
      </c>
      <c r="E40" s="7">
        <v>1.0</v>
      </c>
      <c r="F40" s="9">
        <v>12.95</v>
      </c>
      <c r="G40" s="9">
        <f t="shared" si="1"/>
        <v>12.95</v>
      </c>
      <c r="H40" s="17" t="s">
        <v>91</v>
      </c>
    </row>
    <row r="41">
      <c r="A41" s="6">
        <v>39.0</v>
      </c>
      <c r="B41" s="7" t="s">
        <v>93</v>
      </c>
      <c r="C41" s="8" t="s">
        <v>9</v>
      </c>
      <c r="D41" s="7" t="s">
        <v>94</v>
      </c>
      <c r="E41" s="7">
        <v>2.0</v>
      </c>
      <c r="F41" s="9">
        <v>1.94</v>
      </c>
      <c r="G41" s="9">
        <f t="shared" si="1"/>
        <v>3.88</v>
      </c>
      <c r="H41" s="17" t="s">
        <v>35</v>
      </c>
    </row>
    <row r="42">
      <c r="A42" s="6">
        <v>40.0</v>
      </c>
      <c r="B42" s="7" t="s">
        <v>95</v>
      </c>
      <c r="C42" s="7" t="s">
        <v>9</v>
      </c>
      <c r="D42" s="7" t="s">
        <v>94</v>
      </c>
      <c r="E42" s="7">
        <v>1.0</v>
      </c>
      <c r="F42" s="9">
        <v>1.57</v>
      </c>
      <c r="G42" s="9">
        <f t="shared" si="1"/>
        <v>1.57</v>
      </c>
      <c r="H42" s="17"/>
    </row>
    <row r="43">
      <c r="A43" s="6">
        <v>41.0</v>
      </c>
      <c r="B43" s="7" t="s">
        <v>96</v>
      </c>
      <c r="C43" s="8" t="s">
        <v>77</v>
      </c>
      <c r="D43" s="7" t="s">
        <v>97</v>
      </c>
      <c r="E43" s="7">
        <v>1.0</v>
      </c>
      <c r="F43" s="26">
        <v>53.97</v>
      </c>
      <c r="G43" s="9">
        <f t="shared" si="1"/>
        <v>53.97</v>
      </c>
      <c r="H43" s="17" t="s">
        <v>98</v>
      </c>
    </row>
    <row r="44">
      <c r="A44" s="6">
        <v>42.0</v>
      </c>
      <c r="B44" s="7" t="s">
        <v>99</v>
      </c>
      <c r="C44" s="7" t="s">
        <v>44</v>
      </c>
      <c r="D44" s="7" t="s">
        <v>100</v>
      </c>
      <c r="E44" s="7">
        <v>1.0</v>
      </c>
      <c r="F44" s="9">
        <v>6.0</v>
      </c>
      <c r="G44" s="9">
        <f t="shared" si="1"/>
        <v>6</v>
      </c>
      <c r="H44" s="17"/>
    </row>
    <row r="45">
      <c r="A45" s="6">
        <v>43.0</v>
      </c>
      <c r="B45" s="7" t="s">
        <v>101</v>
      </c>
      <c r="C45" s="7" t="s">
        <v>102</v>
      </c>
      <c r="D45" s="7" t="s">
        <v>103</v>
      </c>
      <c r="E45" s="7">
        <v>0.0</v>
      </c>
      <c r="F45" s="9">
        <v>0.0</v>
      </c>
      <c r="G45" s="9">
        <f t="shared" si="1"/>
        <v>0</v>
      </c>
      <c r="H45" s="17"/>
    </row>
    <row r="46">
      <c r="A46" s="6">
        <v>44.0</v>
      </c>
      <c r="B46" s="7" t="s">
        <v>104</v>
      </c>
      <c r="C46" s="7" t="s">
        <v>64</v>
      </c>
      <c r="D46" s="7" t="s">
        <v>105</v>
      </c>
      <c r="E46" s="7">
        <v>1.0</v>
      </c>
      <c r="F46" s="9">
        <v>5.99</v>
      </c>
      <c r="G46" s="9">
        <f t="shared" si="1"/>
        <v>5.99</v>
      </c>
      <c r="H46" s="17" t="s">
        <v>106</v>
      </c>
    </row>
    <row r="47">
      <c r="A47" s="6">
        <v>45.0</v>
      </c>
      <c r="B47" s="27" t="s">
        <v>107</v>
      </c>
      <c r="C47" s="8" t="s">
        <v>108</v>
      </c>
      <c r="D47" s="7" t="s">
        <v>13</v>
      </c>
      <c r="E47" s="7">
        <v>1.0</v>
      </c>
      <c r="F47" s="9">
        <v>46.99</v>
      </c>
      <c r="G47" s="9">
        <f t="shared" si="1"/>
        <v>46.99</v>
      </c>
      <c r="H47" s="17" t="s">
        <v>109</v>
      </c>
    </row>
    <row r="48">
      <c r="A48" s="6">
        <v>46.0</v>
      </c>
      <c r="B48" s="28"/>
      <c r="C48" s="28"/>
      <c r="D48" s="28"/>
      <c r="E48" s="28"/>
      <c r="F48" s="23"/>
      <c r="G48" s="9">
        <f t="shared" si="1"/>
        <v>0</v>
      </c>
      <c r="H48" s="17"/>
    </row>
    <row r="49">
      <c r="A49" s="6">
        <v>47.0</v>
      </c>
      <c r="B49" s="28"/>
      <c r="C49" s="28"/>
      <c r="D49" s="28"/>
      <c r="E49" s="28"/>
      <c r="F49" s="23"/>
      <c r="G49" s="9">
        <f t="shared" si="1"/>
        <v>0</v>
      </c>
      <c r="H49" s="17"/>
    </row>
    <row r="50">
      <c r="A50" s="6">
        <v>48.0</v>
      </c>
      <c r="B50" s="28"/>
      <c r="C50" s="28"/>
      <c r="D50" s="28"/>
      <c r="E50" s="28"/>
      <c r="F50" s="23"/>
      <c r="G50" s="9">
        <f t="shared" si="1"/>
        <v>0</v>
      </c>
      <c r="H50" s="17"/>
    </row>
    <row r="51">
      <c r="A51" s="6">
        <v>49.0</v>
      </c>
      <c r="B51" s="28"/>
      <c r="C51" s="28"/>
      <c r="D51" s="28"/>
      <c r="E51" s="28"/>
      <c r="F51" s="23"/>
      <c r="G51" s="9">
        <f t="shared" si="1"/>
        <v>0</v>
      </c>
      <c r="H51" s="17"/>
    </row>
    <row r="52">
      <c r="A52" s="6">
        <v>50.0</v>
      </c>
      <c r="B52" s="28"/>
      <c r="C52" s="28"/>
      <c r="D52" s="28"/>
      <c r="E52" s="28"/>
      <c r="F52" s="23"/>
      <c r="G52" s="9">
        <f t="shared" si="1"/>
        <v>0</v>
      </c>
      <c r="H52" s="17"/>
    </row>
    <row r="53">
      <c r="A53" s="6">
        <v>51.0</v>
      </c>
      <c r="B53" s="28"/>
      <c r="C53" s="28"/>
      <c r="D53" s="28"/>
      <c r="E53" s="28"/>
      <c r="F53" s="23"/>
      <c r="G53" s="9">
        <f t="shared" si="1"/>
        <v>0</v>
      </c>
      <c r="H53" s="17"/>
    </row>
    <row r="54">
      <c r="A54" s="6">
        <v>52.0</v>
      </c>
      <c r="B54" s="28"/>
      <c r="C54" s="28"/>
      <c r="D54" s="28"/>
      <c r="E54" s="28"/>
      <c r="F54" s="23"/>
      <c r="G54" s="9">
        <f t="shared" si="1"/>
        <v>0</v>
      </c>
      <c r="H54" s="17"/>
    </row>
    <row r="55">
      <c r="A55" s="29"/>
      <c r="B55" s="30" t="s">
        <v>110</v>
      </c>
      <c r="C55" s="31"/>
      <c r="D55" s="31"/>
      <c r="E55" s="31"/>
      <c r="F55" s="32"/>
      <c r="G55" s="33">
        <f>SUM(G3:G54)</f>
        <v>1479.85</v>
      </c>
      <c r="H55" s="29"/>
    </row>
    <row r="56">
      <c r="A56" s="29"/>
      <c r="B56" s="34" t="s">
        <v>111</v>
      </c>
      <c r="C56" s="35"/>
      <c r="D56" s="35"/>
      <c r="E56" s="35"/>
      <c r="F56" s="35"/>
      <c r="G56" s="36"/>
      <c r="H56" s="29"/>
    </row>
    <row r="57">
      <c r="B57" s="37"/>
      <c r="C57" s="35"/>
      <c r="D57" s="35"/>
      <c r="E57" s="35"/>
      <c r="F57" s="35"/>
      <c r="G57" s="36"/>
    </row>
  </sheetData>
  <mergeCells count="1">
    <mergeCell ref="A1:H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15"/>
    <hyperlink r:id="rId8" ref="C17"/>
    <hyperlink r:id="rId9" ref="C18"/>
    <hyperlink r:id="rId10" ref="C19"/>
    <hyperlink r:id="rId11" ref="C20"/>
    <hyperlink r:id="rId12" ref="C23"/>
    <hyperlink r:id="rId13" ref="C24"/>
    <hyperlink r:id="rId14" ref="C25"/>
    <hyperlink r:id="rId15" ref="C26"/>
    <hyperlink r:id="rId16" ref="C27"/>
    <hyperlink r:id="rId17" ref="C28"/>
    <hyperlink r:id="rId18" ref="C29"/>
    <hyperlink r:id="rId19" ref="C30"/>
    <hyperlink r:id="rId20" ref="C31"/>
    <hyperlink r:id="rId21" ref="C32"/>
    <hyperlink r:id="rId22" ref="C33"/>
    <hyperlink r:id="rId23" ref="C34"/>
    <hyperlink r:id="rId24" ref="C36"/>
    <hyperlink r:id="rId25" ref="C37"/>
    <hyperlink r:id="rId26" ref="C38"/>
    <hyperlink r:id="rId27" ref="C39"/>
    <hyperlink r:id="rId28" ref="C40"/>
    <hyperlink r:id="rId29" ref="C41"/>
    <hyperlink r:id="rId30" ref="C43"/>
    <hyperlink r:id="rId31" ref="C4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2"/>
</worksheet>
</file>